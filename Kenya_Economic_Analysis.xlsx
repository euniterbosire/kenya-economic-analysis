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16" windowHeight="9996" activeTab="1"/>
  </bookViews>
  <sheets>
    <sheet name="Sheet1" sheetId="1" r:id="rId1"/>
    <sheet name="Dashboard" sheetId="3" r:id="rId2"/>
  </sheets>
  <externalReferences>
    <externalReference r:id="rId3"/>
    <externalReference r:id="rId4"/>
    <externalReference r:id="rId5"/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24" i="1"/>
  <c r="D23" i="1"/>
  <c r="D22" i="1"/>
  <c r="D17" i="1"/>
  <c r="D7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<sst xmlns="http://schemas.openxmlformats.org/spreadsheetml/2006/main" count="11" uniqueCount="11">
  <si>
    <t>Year</t>
  </si>
  <si>
    <t>GDP_Growth_%</t>
  </si>
  <si>
    <t>GDP_PerCapita_USD</t>
  </si>
  <si>
    <t>Poverty_Rate_%</t>
  </si>
  <si>
    <t>Unemployment_%</t>
  </si>
  <si>
    <t>Kenya Economic Indicators Dashboard (2000–2023)</t>
  </si>
  <si>
    <t>Average GDP Growth (%)</t>
  </si>
  <si>
    <t>Highest GDP Growth (%)</t>
  </si>
  <si>
    <t>Lowest GDP Growth (%)</t>
  </si>
  <si>
    <t>GDP Per Capita 2023 (USD)</t>
  </si>
  <si>
    <t>Avg Unemployment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</si>
</sst>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2" fontId="0" fillId="2" borderId="0" xfId="0" applyNumberFormat="1" applyFill="1"/>
    <xf numFmtId="2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Kenya GDP Growth Rate (2000-2023)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GDP_Growth_%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Sheet1!$B$2:$B$25</c:f>
              <c:numCache>
                <c:formatCode>General</c:formatCode>
                <c:ptCount val="24"/>
                <c:pt idx="0">
                  <c:v>0.59969539080742595</c:v>
                </c:pt>
                <c:pt idx="1">
                  <c:v>3.77990649795343</c:v>
                </c:pt>
                <c:pt idx="2">
                  <c:v>0.54685953017559497</c:v>
                </c:pt>
                <c:pt idx="3">
                  <c:v>2.9324755457090399</c:v>
                </c:pt>
                <c:pt idx="4">
                  <c:v>5.1042997762973803</c:v>
                </c:pt>
                <c:pt idx="5">
                  <c:v>5.9066660798005701</c:v>
                </c:pt>
                <c:pt idx="6">
                  <c:v>6.4724943001548398</c:v>
                </c:pt>
                <c:pt idx="7">
                  <c:v>6.85072976998784</c:v>
                </c:pt>
                <c:pt idx="8">
                  <c:v>0.232282744812977</c:v>
                </c:pt>
                <c:pt idx="9">
                  <c:v>3.3069398163108898</c:v>
                </c:pt>
                <c:pt idx="10">
                  <c:v>8.0584736029090607</c:v>
                </c:pt>
                <c:pt idx="11">
                  <c:v>5.1211061197056003</c:v>
                </c:pt>
                <c:pt idx="12">
                  <c:v>4.5686796144498203</c:v>
                </c:pt>
                <c:pt idx="13">
                  <c:v>3.7978483925753999</c:v>
                </c:pt>
                <c:pt idx="14">
                  <c:v>5.0201110023248399</c:v>
                </c:pt>
                <c:pt idx="15">
                  <c:v>4.9677211275976703</c:v>
                </c:pt>
                <c:pt idx="16">
                  <c:v>4.2135170681474401</c:v>
                </c:pt>
                <c:pt idx="17">
                  <c:v>3.8379581736472099</c:v>
                </c:pt>
                <c:pt idx="18">
                  <c:v>5.6479464070921903</c:v>
                </c:pt>
                <c:pt idx="19">
                  <c:v>5.1141588576780102</c:v>
                </c:pt>
                <c:pt idx="20">
                  <c:v>-0.27276632743881601</c:v>
                </c:pt>
                <c:pt idx="21">
                  <c:v>7.5904894733346699</c:v>
                </c:pt>
                <c:pt idx="22">
                  <c:v>4.8599810428799897</c:v>
                </c:pt>
                <c:pt idx="23">
                  <c:v>5.71999241214208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4F-4732-957B-C002590D6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911512"/>
        <c:axId val="442847824"/>
      </c:lineChart>
      <c:catAx>
        <c:axId val="45491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47824"/>
        <c:crosses val="autoZero"/>
        <c:auto val="1"/>
        <c:lblAlgn val="ctr"/>
        <c:lblOffset val="100"/>
        <c:noMultiLvlLbl val="0"/>
      </c:catAx>
      <c:valAx>
        <c:axId val="4428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1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Kenya GDP</a:t>
            </a:r>
            <a:r>
              <a:rPr lang="en-US" baseline="0"/>
              <a:t> </a:t>
            </a:r>
            <a:r>
              <a:rPr lang="en-US"/>
              <a:t>PerCapita</a:t>
            </a:r>
            <a:r>
              <a:rPr lang="en-US" baseline="0"/>
              <a:t> (2000-2023</a:t>
            </a:r>
            <a:r>
              <a:rPr lang="en-US"/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GDP_PerCapita_USD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Sheet1!$C$2:$C$25</c:f>
              <c:numCache>
                <c:formatCode>General</c:formatCode>
                <c:ptCount val="24"/>
                <c:pt idx="0">
                  <c:v>414.62636513084601</c:v>
                </c:pt>
                <c:pt idx="1">
                  <c:v>410.70045247481403</c:v>
                </c:pt>
                <c:pt idx="2">
                  <c:v>402.93638560538199</c:v>
                </c:pt>
                <c:pt idx="3">
                  <c:v>442.89845725340501</c:v>
                </c:pt>
                <c:pt idx="4">
                  <c:v>463.66278130012103</c:v>
                </c:pt>
                <c:pt idx="5">
                  <c:v>523.45631243386299</c:v>
                </c:pt>
                <c:pt idx="6">
                  <c:v>699.80237063381003</c:v>
                </c:pt>
                <c:pt idx="7">
                  <c:v>840.20143947676502</c:v>
                </c:pt>
                <c:pt idx="8">
                  <c:v>915.54435473603996</c:v>
                </c:pt>
                <c:pt idx="9">
                  <c:v>1047.9678324485001</c:v>
                </c:pt>
                <c:pt idx="10">
                  <c:v>1091.51873101194</c:v>
                </c:pt>
                <c:pt idx="11">
                  <c:v>1096.14499807675</c:v>
                </c:pt>
                <c:pt idx="12">
                  <c:v>1285.00536171512</c:v>
                </c:pt>
                <c:pt idx="13">
                  <c:v>1370.8788521465899</c:v>
                </c:pt>
                <c:pt idx="14">
                  <c:v>1482.81566253497</c:v>
                </c:pt>
                <c:pt idx="15">
                  <c:v>1489.1195977728401</c:v>
                </c:pt>
                <c:pt idx="16">
                  <c:v>1554.12610314423</c:v>
                </c:pt>
                <c:pt idx="17">
                  <c:v>1667.48447230835</c:v>
                </c:pt>
                <c:pt idx="18">
                  <c:v>1836.4527552899301</c:v>
                </c:pt>
                <c:pt idx="19">
                  <c:v>1960.40808854893</c:v>
                </c:pt>
                <c:pt idx="20">
                  <c:v>1927.6645902784901</c:v>
                </c:pt>
                <c:pt idx="21">
                  <c:v>2061.3562208959402</c:v>
                </c:pt>
                <c:pt idx="22">
                  <c:v>2109.56288513137</c:v>
                </c:pt>
                <c:pt idx="23">
                  <c:v>1942.5880275619099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1-475A-A7D3-EFAD71FD8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664216"/>
        <c:axId val="325667168"/>
      </c:lineChart>
      <c:catAx>
        <c:axId val="3256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667168"/>
        <c:crosses val="autoZero"/>
        <c:auto val="1"/>
        <c:lblAlgn val="ctr"/>
        <c:lblOffset val="100"/>
        <c:noMultiLvlLbl val="0"/>
      </c:catAx>
      <c:valAx>
        <c:axId val="32566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664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Kenya Unemployment Rate (2000-2023)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Unemployment_%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Sheet1!$E$2:$E$25</c:f>
              <c:numCache>
                <c:formatCode>General</c:formatCode>
                <c:ptCount val="24"/>
                <c:pt idx="0">
                  <c:v>2.8839999999999999</c:v>
                </c:pt>
                <c:pt idx="1">
                  <c:v>2.8759999999999999</c:v>
                </c:pt>
                <c:pt idx="2">
                  <c:v>2.9159999999999999</c:v>
                </c:pt>
                <c:pt idx="3">
                  <c:v>2.8690000000000002</c:v>
                </c:pt>
                <c:pt idx="4">
                  <c:v>2.8439999999999999</c:v>
                </c:pt>
                <c:pt idx="5">
                  <c:v>2.7389999999999999</c:v>
                </c:pt>
                <c:pt idx="6">
                  <c:v>2.673</c:v>
                </c:pt>
                <c:pt idx="7">
                  <c:v>2.6419999999999999</c:v>
                </c:pt>
                <c:pt idx="8">
                  <c:v>2.7509999999999999</c:v>
                </c:pt>
                <c:pt idx="9">
                  <c:v>2.8159999999999998</c:v>
                </c:pt>
                <c:pt idx="10">
                  <c:v>2.7930000000000001</c:v>
                </c:pt>
                <c:pt idx="11">
                  <c:v>2.6989999999999998</c:v>
                </c:pt>
                <c:pt idx="12">
                  <c:v>2.6779999999999999</c:v>
                </c:pt>
                <c:pt idx="13">
                  <c:v>2.762</c:v>
                </c:pt>
                <c:pt idx="14">
                  <c:v>2.7669999999999999</c:v>
                </c:pt>
                <c:pt idx="15">
                  <c:v>2.762</c:v>
                </c:pt>
                <c:pt idx="16">
                  <c:v>2.7570000000000001</c:v>
                </c:pt>
                <c:pt idx="17">
                  <c:v>3.5419999999999998</c:v>
                </c:pt>
                <c:pt idx="18">
                  <c:v>4.2839999999999998</c:v>
                </c:pt>
                <c:pt idx="19">
                  <c:v>5.0140000000000002</c:v>
                </c:pt>
                <c:pt idx="20">
                  <c:v>5.6130000000000004</c:v>
                </c:pt>
                <c:pt idx="21">
                  <c:v>5.6929999999999996</c:v>
                </c:pt>
                <c:pt idx="22">
                  <c:v>5.5650000000000004</c:v>
                </c:pt>
                <c:pt idx="23">
                  <c:v>5.4089999999999998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C-46D8-9F77-51BBF9858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047712"/>
        <c:axId val="455043448"/>
      </c:barChart>
      <c:catAx>
        <c:axId val="45504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43448"/>
        <c:crosses val="autoZero"/>
        <c:auto val="1"/>
        <c:lblAlgn val="ctr"/>
        <c:lblOffset val="100"/>
        <c:noMultiLvlLbl val="0"/>
      </c:catAx>
      <c:valAx>
        <c:axId val="45504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4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0</xdr:row>
      <xdr:rowOff>198120</xdr:rowOff>
    </xdr:from>
    <xdr:to>
      <xdr:col>16</xdr:col>
      <xdr:colOff>403860</xdr:colOff>
      <xdr:row>15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137160</xdr:rowOff>
    </xdr:from>
    <xdr:to>
      <xdr:col>4</xdr:col>
      <xdr:colOff>441960</xdr:colOff>
      <xdr:row>31</xdr:row>
      <xdr:rowOff>129540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457200</xdr:colOff>
      <xdr:row>16</xdr:row>
      <xdr:rowOff>129540</xdr:rowOff>
    </xdr:from>
    <xdr:to>
      <xdr:col>16</xdr:col>
      <xdr:colOff>198120</xdr:colOff>
      <xdr:row>31</xdr:row>
      <xdr:rowOff>129540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enya_Economics/Kenya_GDP_Grow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DP_PER_CAPI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enya_pover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enya_Unemplo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I_NY.GDP.MKTP.KD.ZG_DS2_en_cs"/>
      <sheetName val="Kenya_GDP_Growth"/>
    </sheetNames>
    <sheetDataSet>
      <sheetData sheetId="0" refreshError="1"/>
      <sheetData sheetId="1">
        <row r="2">
          <cell r="F2">
            <v>0.59969539080742595</v>
          </cell>
          <cell r="G2">
            <v>3.77990649795343</v>
          </cell>
          <cell r="H2">
            <v>0.54685953017559497</v>
          </cell>
          <cell r="I2">
            <v>2.9324755457090399</v>
          </cell>
          <cell r="J2">
            <v>5.1042997762973803</v>
          </cell>
          <cell r="K2">
            <v>5.9066660798005701</v>
          </cell>
          <cell r="L2">
            <v>6.4724943001548398</v>
          </cell>
          <cell r="M2">
            <v>6.85072976998784</v>
          </cell>
          <cell r="N2">
            <v>0.232282744812977</v>
          </cell>
          <cell r="O2">
            <v>3.3069398163108898</v>
          </cell>
          <cell r="P2">
            <v>8.0584736029090607</v>
          </cell>
          <cell r="Q2">
            <v>5.1211061197056003</v>
          </cell>
          <cell r="R2">
            <v>4.5686796144498203</v>
          </cell>
          <cell r="S2">
            <v>3.7978483925753999</v>
          </cell>
          <cell r="T2">
            <v>5.0201110023248399</v>
          </cell>
          <cell r="U2">
            <v>4.9677211275976703</v>
          </cell>
          <cell r="V2">
            <v>4.2135170681474401</v>
          </cell>
          <cell r="W2">
            <v>3.8379581736472099</v>
          </cell>
          <cell r="X2">
            <v>5.6479464070921903</v>
          </cell>
          <cell r="Y2">
            <v>5.1141588576780102</v>
          </cell>
          <cell r="Z2">
            <v>-0.27276632743881601</v>
          </cell>
          <cell r="AA2">
            <v>7.5904894733346699</v>
          </cell>
          <cell r="AB2">
            <v>4.8599810428799897</v>
          </cell>
          <cell r="AC2">
            <v>5.71999241214208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I_NY.GDP.PCAP.CD_DS2_en_csv_v"/>
      <sheetName val="GDP per capita"/>
    </sheetNames>
    <sheetDataSet>
      <sheetData sheetId="0" refreshError="1"/>
      <sheetData sheetId="1">
        <row r="2">
          <cell r="E2">
            <v>414.62636513084601</v>
          </cell>
          <cell r="F2">
            <v>410.70045247481403</v>
          </cell>
          <cell r="G2">
            <v>402.93638560538199</v>
          </cell>
          <cell r="H2">
            <v>442.89845725340501</v>
          </cell>
          <cell r="I2">
            <v>463.66278130012103</v>
          </cell>
          <cell r="J2">
            <v>523.45631243386299</v>
          </cell>
          <cell r="K2">
            <v>699.80237063381003</v>
          </cell>
          <cell r="L2">
            <v>840.20143947676502</v>
          </cell>
          <cell r="M2">
            <v>915.54435473603996</v>
          </cell>
          <cell r="N2">
            <v>1047.9678324485001</v>
          </cell>
          <cell r="O2">
            <v>1091.51873101194</v>
          </cell>
          <cell r="P2">
            <v>1096.14499807675</v>
          </cell>
          <cell r="Q2">
            <v>1285.00536171512</v>
          </cell>
          <cell r="R2">
            <v>1370.8788521465899</v>
          </cell>
          <cell r="S2">
            <v>1482.81566253497</v>
          </cell>
          <cell r="T2">
            <v>1489.1195977728401</v>
          </cell>
          <cell r="U2">
            <v>1554.12610314423</v>
          </cell>
          <cell r="V2">
            <v>1667.48447230835</v>
          </cell>
          <cell r="W2">
            <v>1836.4527552899301</v>
          </cell>
          <cell r="X2">
            <v>1960.40808854893</v>
          </cell>
          <cell r="Y2">
            <v>1927.6645902784901</v>
          </cell>
          <cell r="Z2">
            <v>2061.3562208959402</v>
          </cell>
          <cell r="AA2">
            <v>2109.56288513137</v>
          </cell>
          <cell r="AB2">
            <v>1942.5880275619099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I_SI.POV.DDAY_DS2_en_csv_v2_4"/>
      <sheetName val="Poverty headcount"/>
    </sheetNames>
    <sheetDataSet>
      <sheetData sheetId="0" refreshError="1"/>
      <sheetData sheetId="1">
        <row r="2">
          <cell r="J2">
            <v>44.6</v>
          </cell>
          <cell r="T2">
            <v>37.700000000000003</v>
          </cell>
          <cell r="Y2">
            <v>44.4</v>
          </cell>
          <cell r="Z2">
            <v>46.4</v>
          </cell>
          <cell r="AA2">
            <v>45.5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I_SL.UEM.TOTL.ZS_DS2_en_csv_v"/>
      <sheetName val="Unemployment"/>
    </sheetNames>
    <sheetDataSet>
      <sheetData sheetId="0" refreshError="1"/>
      <sheetData sheetId="1">
        <row r="2">
          <cell r="E2">
            <v>2.8839999999999999</v>
          </cell>
          <cell r="F2">
            <v>2.8759999999999999</v>
          </cell>
          <cell r="G2">
            <v>2.9159999999999999</v>
          </cell>
          <cell r="H2">
            <v>2.8690000000000002</v>
          </cell>
          <cell r="I2">
            <v>2.8439999999999999</v>
          </cell>
          <cell r="J2">
            <v>2.7389999999999999</v>
          </cell>
          <cell r="K2">
            <v>2.673</v>
          </cell>
          <cell r="L2">
            <v>2.6419999999999999</v>
          </cell>
          <cell r="M2">
            <v>2.7509999999999999</v>
          </cell>
          <cell r="N2">
            <v>2.8159999999999998</v>
          </cell>
          <cell r="O2">
            <v>2.7930000000000001</v>
          </cell>
          <cell r="P2">
            <v>2.6989999999999998</v>
          </cell>
          <cell r="Q2">
            <v>2.6779999999999999</v>
          </cell>
          <cell r="R2">
            <v>2.762</v>
          </cell>
          <cell r="S2">
            <v>2.7669999999999999</v>
          </cell>
          <cell r="T2">
            <v>2.762</v>
          </cell>
          <cell r="U2">
            <v>2.7570000000000001</v>
          </cell>
          <cell r="V2">
            <v>3.5419999999999998</v>
          </cell>
          <cell r="W2">
            <v>4.2839999999999998</v>
          </cell>
          <cell r="X2">
            <v>5.0140000000000002</v>
          </cell>
          <cell r="Y2">
            <v>5.6130000000000004</v>
          </cell>
          <cell r="Z2">
            <v>5.6929999999999996</v>
          </cell>
          <cell r="AA2">
            <v>5.5650000000000004</v>
          </cell>
          <cell r="AB2">
            <v>5.4089999999999998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J45" sqref="J45"/>
    </sheetView>
  </sheetViews>
  <sheetFormatPr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2000</v>
      </c>
      <c r="B2">
        <f>[1]Kenya_GDP_Growth!F2</f>
        <v>0.59969539080742595</v>
      </c>
      <c r="C2">
        <f>'[2]GDP per capita'!$E$2</f>
        <v>414.62636513084601</v>
      </c>
      <c r="E2">
        <f>[4]Unemployment!$E$2</f>
        <v>2.8839999999999999</v>
      </c>
    </row>
    <row r="3" spans="1:5">
      <c r="A3">
        <v>2001</v>
      </c>
      <c r="B3">
        <f>[1]Kenya_GDP_Growth!G2</f>
        <v>3.77990649795343</v>
      </c>
      <c r="C3">
        <f>'[2]GDP per capita'!$F$2</f>
        <v>410.70045247481403</v>
      </c>
      <c r="E3">
        <f>[4]Unemployment!$F$2</f>
        <v>2.8759999999999999</v>
      </c>
    </row>
    <row r="4" spans="1:5">
      <c r="A4">
        <v>2002</v>
      </c>
      <c r="B4">
        <f>[1]Kenya_GDP_Growth!$H$2</f>
        <v>0.54685953017559497</v>
      </c>
      <c r="C4">
        <f>'[2]GDP per capita'!$G$2</f>
        <v>402.93638560538199</v>
      </c>
      <c r="E4">
        <f>[4]Unemployment!$G$2</f>
        <v>2.9159999999999999</v>
      </c>
    </row>
    <row r="5" spans="1:5">
      <c r="A5">
        <v>2003</v>
      </c>
      <c r="B5">
        <f>[1]Kenya_GDP_Growth!$I$2</f>
        <v>2.9324755457090399</v>
      </c>
      <c r="C5">
        <f>'[2]GDP per capita'!$H$2</f>
        <v>442.89845725340501</v>
      </c>
      <c r="E5">
        <f>[4]Unemployment!$H$2</f>
        <v>2.8690000000000002</v>
      </c>
    </row>
    <row r="6" spans="1:5">
      <c r="A6">
        <v>2004</v>
      </c>
      <c r="B6">
        <f>[1]Kenya_GDP_Growth!$J$2</f>
        <v>5.1042997762973803</v>
      </c>
      <c r="C6">
        <f>'[2]GDP per capita'!$I$2</f>
        <v>463.66278130012103</v>
      </c>
      <c r="E6">
        <f>[4]Unemployment!$I$2</f>
        <v>2.8439999999999999</v>
      </c>
    </row>
    <row r="7" spans="1:5">
      <c r="A7">
        <v>2005</v>
      </c>
      <c r="B7">
        <f>[1]Kenya_GDP_Growth!$K$2</f>
        <v>5.9066660798005701</v>
      </c>
      <c r="C7">
        <f>'[2]GDP per capita'!$J$2</f>
        <v>523.45631243386299</v>
      </c>
      <c r="D7">
        <f>'[3]Poverty headcount'!$J$2</f>
        <v>44.6</v>
      </c>
      <c r="E7">
        <f>[4]Unemployment!$J$2</f>
        <v>2.7389999999999999</v>
      </c>
    </row>
    <row r="8" spans="1:5">
      <c r="A8">
        <v>2006</v>
      </c>
      <c r="B8">
        <f>[1]Kenya_GDP_Growth!$L$2</f>
        <v>6.4724943001548398</v>
      </c>
      <c r="C8">
        <f>'[2]GDP per capita'!$K$2</f>
        <v>699.80237063381003</v>
      </c>
      <c r="E8">
        <f>[4]Unemployment!$K$2</f>
        <v>2.673</v>
      </c>
    </row>
    <row r="9" spans="1:5">
      <c r="A9">
        <v>2007</v>
      </c>
      <c r="B9">
        <f>[1]Kenya_GDP_Growth!$M$2</f>
        <v>6.85072976998784</v>
      </c>
      <c r="C9">
        <f>'[2]GDP per capita'!$L$2</f>
        <v>840.20143947676502</v>
      </c>
      <c r="E9">
        <f>[4]Unemployment!$L$2</f>
        <v>2.6419999999999999</v>
      </c>
    </row>
    <row r="10" spans="1:5">
      <c r="A10">
        <v>2008</v>
      </c>
      <c r="B10">
        <f>[1]Kenya_GDP_Growth!$N$2</f>
        <v>0.232282744812977</v>
      </c>
      <c r="C10">
        <f>'[2]GDP per capita'!$M$2</f>
        <v>915.54435473603996</v>
      </c>
      <c r="E10">
        <f>[4]Unemployment!$M$2</f>
        <v>2.7509999999999999</v>
      </c>
    </row>
    <row r="11" spans="1:5">
      <c r="A11">
        <v>2009</v>
      </c>
      <c r="B11">
        <f>[1]Kenya_GDP_Growth!$O$2</f>
        <v>3.3069398163108898</v>
      </c>
      <c r="C11">
        <f>'[2]GDP per capita'!$N$2</f>
        <v>1047.9678324485001</v>
      </c>
      <c r="E11">
        <f>[4]Unemployment!$N$2</f>
        <v>2.8159999999999998</v>
      </c>
    </row>
    <row r="12" spans="1:5">
      <c r="A12">
        <v>2010</v>
      </c>
      <c r="B12">
        <f>[1]Kenya_GDP_Growth!$P$2</f>
        <v>8.0584736029090607</v>
      </c>
      <c r="C12">
        <f>'[2]GDP per capita'!$O$2</f>
        <v>1091.51873101194</v>
      </c>
      <c r="E12">
        <f>[4]Unemployment!$O$2</f>
        <v>2.7930000000000001</v>
      </c>
    </row>
    <row r="13" spans="1:5">
      <c r="A13">
        <v>2011</v>
      </c>
      <c r="B13">
        <f>[1]Kenya_GDP_Growth!$Q$2</f>
        <v>5.1211061197056003</v>
      </c>
      <c r="C13">
        <f>'[2]GDP per capita'!$P$2</f>
        <v>1096.14499807675</v>
      </c>
      <c r="E13">
        <f>[4]Unemployment!$P$2</f>
        <v>2.6989999999999998</v>
      </c>
    </row>
    <row r="14" spans="1:5">
      <c r="A14">
        <v>2012</v>
      </c>
      <c r="B14">
        <f>[1]Kenya_GDP_Growth!$R$2</f>
        <v>4.5686796144498203</v>
      </c>
      <c r="C14">
        <f>'[2]GDP per capita'!$Q$2</f>
        <v>1285.00536171512</v>
      </c>
      <c r="E14">
        <f>[4]Unemployment!$Q$2</f>
        <v>2.6779999999999999</v>
      </c>
    </row>
    <row r="15" spans="1:5">
      <c r="A15">
        <v>2013</v>
      </c>
      <c r="B15">
        <f>[1]Kenya_GDP_Growth!$S$2</f>
        <v>3.7978483925753999</v>
      </c>
      <c r="C15">
        <f>'[2]GDP per capita'!$R$2</f>
        <v>1370.8788521465899</v>
      </c>
      <c r="E15">
        <f>[4]Unemployment!$R$2</f>
        <v>2.762</v>
      </c>
    </row>
    <row r="16" spans="1:5">
      <c r="A16">
        <v>2014</v>
      </c>
      <c r="B16">
        <f>[1]Kenya_GDP_Growth!$T$2</f>
        <v>5.0201110023248399</v>
      </c>
      <c r="C16">
        <f>'[2]GDP per capita'!$S$2</f>
        <v>1482.81566253497</v>
      </c>
      <c r="E16">
        <f>[4]Unemployment!$S$2</f>
        <v>2.7669999999999999</v>
      </c>
    </row>
    <row r="17" spans="1:5">
      <c r="A17">
        <v>2015</v>
      </c>
      <c r="B17">
        <f>[1]Kenya_GDP_Growth!$U$2</f>
        <v>4.9677211275976703</v>
      </c>
      <c r="C17">
        <f>'[2]GDP per capita'!$T$2</f>
        <v>1489.1195977728401</v>
      </c>
      <c r="D17">
        <f>'[3]Poverty headcount'!$T$2</f>
        <v>37.700000000000003</v>
      </c>
      <c r="E17">
        <f>[4]Unemployment!$T$2</f>
        <v>2.762</v>
      </c>
    </row>
    <row r="18" spans="1:5">
      <c r="A18">
        <v>2016</v>
      </c>
      <c r="B18">
        <f>[1]Kenya_GDP_Growth!$V$2</f>
        <v>4.2135170681474401</v>
      </c>
      <c r="C18">
        <f>'[2]GDP per capita'!$U$2</f>
        <v>1554.12610314423</v>
      </c>
      <c r="E18">
        <f>[4]Unemployment!$U$2</f>
        <v>2.7570000000000001</v>
      </c>
    </row>
    <row r="19" spans="1:5">
      <c r="A19">
        <v>2017</v>
      </c>
      <c r="B19">
        <f>[1]Kenya_GDP_Growth!$W$2</f>
        <v>3.8379581736472099</v>
      </c>
      <c r="C19">
        <f>'[2]GDP per capita'!$V$2</f>
        <v>1667.48447230835</v>
      </c>
      <c r="E19">
        <f>[4]Unemployment!$V$2</f>
        <v>3.5419999999999998</v>
      </c>
    </row>
    <row r="20" spans="1:5">
      <c r="A20">
        <v>2018</v>
      </c>
      <c r="B20">
        <f>[1]Kenya_GDP_Growth!$X$2</f>
        <v>5.6479464070921903</v>
      </c>
      <c r="C20">
        <f>'[2]GDP per capita'!$W$2</f>
        <v>1836.4527552899301</v>
      </c>
      <c r="E20">
        <f>[4]Unemployment!$W$2</f>
        <v>4.2839999999999998</v>
      </c>
    </row>
    <row r="21" spans="1:5">
      <c r="A21">
        <v>2019</v>
      </c>
      <c r="B21">
        <f>[1]Kenya_GDP_Growth!$Y$2</f>
        <v>5.1141588576780102</v>
      </c>
      <c r="C21">
        <f>'[2]GDP per capita'!$X$2</f>
        <v>1960.40808854893</v>
      </c>
      <c r="E21">
        <f>[4]Unemployment!$X$2</f>
        <v>5.0140000000000002</v>
      </c>
    </row>
    <row r="22" spans="1:5">
      <c r="A22">
        <v>2020</v>
      </c>
      <c r="B22">
        <f>[1]Kenya_GDP_Growth!$Z$2</f>
        <v>-0.27276632743881601</v>
      </c>
      <c r="C22">
        <f>'[2]GDP per capita'!$Y$2</f>
        <v>1927.6645902784901</v>
      </c>
      <c r="D22">
        <f>'[3]Poverty headcount'!$Y$2</f>
        <v>44.4</v>
      </c>
      <c r="E22">
        <f>[4]Unemployment!$Y$2</f>
        <v>5.6130000000000004</v>
      </c>
    </row>
    <row r="23" spans="1:5">
      <c r="A23">
        <v>2021</v>
      </c>
      <c r="B23">
        <f>[1]Kenya_GDP_Growth!$AA$2</f>
        <v>7.5904894733346699</v>
      </c>
      <c r="C23">
        <f>'[2]GDP per capita'!$Z$2</f>
        <v>2061.3562208959402</v>
      </c>
      <c r="D23">
        <f>'[3]Poverty headcount'!$Z$2</f>
        <v>46.4</v>
      </c>
      <c r="E23">
        <f>[4]Unemployment!$Z$2</f>
        <v>5.6929999999999996</v>
      </c>
    </row>
    <row r="24" spans="1:5">
      <c r="A24">
        <v>2022</v>
      </c>
      <c r="B24">
        <f>[1]Kenya_GDP_Growth!$AB$2</f>
        <v>4.8599810428799897</v>
      </c>
      <c r="C24">
        <f>'[2]GDP per capita'!$AA$2</f>
        <v>2109.56288513137</v>
      </c>
      <c r="D24">
        <f>'[3]Poverty headcount'!$AA$2</f>
        <v>45.5</v>
      </c>
      <c r="E24">
        <f>[4]Unemployment!$AA$2</f>
        <v>5.5650000000000004</v>
      </c>
    </row>
    <row r="25" spans="1:5">
      <c r="A25">
        <v>2023</v>
      </c>
      <c r="B25">
        <f>[1]Kenya_GDP_Growth!$AC$2</f>
        <v>5.71999241214208</v>
      </c>
      <c r="C25">
        <f>'[2]GDP per capita'!$AB$2</f>
        <v>1942.5880275619099</v>
      </c>
      <c r="E25">
        <f>[4]Unemployment!$AB$2</f>
        <v>5.4089999999999998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GridLines="0" tabSelected="1" workbookViewId="0">
      <selection activeCell="B12" sqref="B12"/>
    </sheetView>
  </sheetViews>
  <sheetFormatPr defaultRowHeight="14.4"/>
  <cols>
    <col min="1" max="1" width="66.44140625" bestFit="1" customWidth="1"/>
    <col min="2" max="2" width="12.6640625" bestFit="1" customWidth="1"/>
  </cols>
  <sheetData>
    <row r="1" spans="1:2" ht="21">
      <c r="A1" s="1" t="s">
        <v>5</v>
      </c>
    </row>
    <row r="3" spans="1:2">
      <c r="A3" s="2" t="s">
        <v>6</v>
      </c>
      <c r="B3" s="3">
        <f>AVERAGE(Sheet1!B2:B25)</f>
        <v>4.3323986007939643</v>
      </c>
    </row>
    <row r="4" spans="1:2">
      <c r="A4" s="2" t="s">
        <v>7</v>
      </c>
      <c r="B4" s="4">
        <f>MAX(Sheet1!B2:B25)</f>
        <v>8.0584736029090607</v>
      </c>
    </row>
    <row r="5" spans="1:2">
      <c r="A5" s="2" t="s">
        <v>8</v>
      </c>
      <c r="B5" s="3">
        <f>MIN(Sheet1!B2:B25)</f>
        <v>-0.27276632743881601</v>
      </c>
    </row>
    <row r="6" spans="1:2">
      <c r="A6" s="2" t="s">
        <v>9</v>
      </c>
      <c r="B6" s="4">
        <f>Sheet1!C25</f>
        <v>1942.5880275619099</v>
      </c>
    </row>
    <row r="7" spans="1:2">
      <c r="A7" s="2" t="s">
        <v>10</v>
      </c>
      <c r="B7" s="4">
        <f>AVERAGE(Sheet1!E2:E25)</f>
        <v>3.4311666666666674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2026-07-01T12:50:19Z</dcterms:created>
  <dcterms:modified xsi:type="dcterms:W3CDTF">2026-07-02T10:47:59Z</dcterms:modified>
</cp:coreProperties>
</file>